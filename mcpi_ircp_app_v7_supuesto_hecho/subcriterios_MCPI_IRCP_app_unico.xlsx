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ad4938a56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criterios_App" sheetId="1" r:id="R0c5e9d60a599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5e54e2b704a0f" /><Relationship Type="http://schemas.openxmlformats.org/officeDocument/2006/relationships/theme" Target="/xl/theme/theme1.xml" Id="R5c09528abaca48f6" /><Relationship Type="http://schemas.openxmlformats.org/officeDocument/2006/relationships/sharedStrings" Target="/xl/sharedStrings.xml" Id="R609e500038784145" /><Relationship Type="http://schemas.openxmlformats.org/officeDocument/2006/relationships/worksheet" Target="/xl/worksheets/sheet1.xml" Id="R0c5e9d60a5994197" /></Relationships>
</file>

<file path=xl/tables/table1.xml><?xml version="1.0" encoding="utf-8"?>
<x:table xmlns:x="http://schemas.openxmlformats.org/spreadsheetml/2006/main" id="1" name="TablaSubcriteriosMCPI" displayName="TablaSubcriteriosMCPI" ref="A1:N39" headerRowCount="1">
  <x:tableColumns count="14">
    <x:tableColumn id="1" name="Modulo"/>
    <x:tableColumn id="2" name="Variable"/>
    <x:tableColumn id="3" name="Codigo"/>
    <x:tableColumn id="4" name="Subcriterio"/>
    <x:tableColumn id="5" name="Peso_sobre_variable"/>
    <x:tableColumn id="6" name="Valor_editable_0_100"/>
    <x:tableColumn id="7" name="Aporte_calculado"/>
    <x:tableColumn id="8" name="Formula_de_aporte"/>
    <x:tableColumn id="9" name="Formula_de_variable"/>
    <x:tableColumn id="10" name="Explicacion_metodologica"/>
    <x:tableColumn id="11" name="Puntaje_alto_75_100"/>
    <x:tableColumn id="12" name="Puntaje_medio_40_74"/>
    <x:tableColumn id="13" name="Puntaje_bajo_0_39"/>
    <x:tableColumn id="14" name="Fuente_metodologica_b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2b0e25c5af418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2" hidden="0" customWidth="1"/>
    <x:col min="4" max="4" width="34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  <x:col min="9" max="9" width="38" hidden="0" customWidth="1"/>
    <x:col min="10" max="10" width="55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 ht="42" customHeight="1">
      <x:c r="A1" s="6" t="str">
        <x:v>Modulo</x:v>
      </x:c>
      <x:c r="B1" s="6" t="str">
        <x:v>Variable</x:v>
      </x:c>
      <x:c r="C1" s="6" t="str">
        <x:v>Codigo</x:v>
      </x:c>
      <x:c r="D1" s="6" t="str">
        <x:v>Subcriterio</x:v>
      </x:c>
      <x:c r="E1" s="6" t="str">
        <x:v>Peso_sobre_variable</x:v>
      </x:c>
      <x:c r="F1" s="6" t="str">
        <x:v>Valor_editable_0_100</x:v>
      </x:c>
      <x:c r="G1" s="6" t="str">
        <x:v>Aporte_calculado</x:v>
      </x:c>
      <x:c r="H1" s="6" t="str">
        <x:v>Formula_de_aporte</x:v>
      </x:c>
      <x:c r="I1" s="6" t="str">
        <x:v>Formula_de_variable</x:v>
      </x:c>
      <x:c r="J1" s="6" t="str">
        <x:v>Explicacion_metodologica</x:v>
      </x:c>
      <x:c r="K1" s="6" t="str">
        <x:v>Puntaje_alto_75_100</x:v>
      </x:c>
      <x:c r="L1" s="6" t="str">
        <x:v>Puntaje_medio_40_74</x:v>
      </x:c>
      <x:c r="M1" s="6" t="str">
        <x:v>Puntaje_bajo_0_39</x:v>
      </x:c>
      <x:c r="N1" s="6" t="str">
        <x:v>Fuente_metodologica_base</x:v>
      </x:c>
    </x:row>
    <x:row r="2">
      <x:c r="A2" s="12" t="str">
        <x:v>Control formal</x:v>
      </x:c>
      <x:c r="B2" s="12" t="str">
        <x:v>Legalidad / tipicidad estricta</x:v>
      </x:c>
      <x:c r="C2" s="12" t="str">
        <x:v>LEG-01</x:v>
      </x:c>
      <x:c r="D2" s="12" t="str">
        <x:v>Ley previa y pena determinada</x:v>
      </x:c>
      <x:c r="E2" s="14" t="n">
        <x:v>0.2</x:v>
      </x:c>
      <x:c r="F2" s="18" t="n">
        <x:v>0</x:v>
      </x:c>
      <x:c r="G2" s="18" t="n">
        <x:f>E2*F2</x:f>
        <x:v>0</x:v>
      </x:c>
      <x:c r="H2" s="12" t="str">
        <x:v>Valor × 0,20</x:v>
      </x:c>
      <x:c r="I2" s="12" t="str">
        <x:v>Legalidad = SUMA(LEG-i × Peso)</x:v>
      </x:c>
      <x:c r="J2" s="12" t="str">
        <x:v>Evalúa si el tipo penal existe antes del hecho, consta en norma válida y contiene pena determinada.</x:v>
      </x:c>
      <x:c r="K2" s="12" t="str">
        <x:v>La ley es previa, escrita, vigente y la pena está claramente prevista.</x:v>
      </x:c>
      <x:c r="L2" s="12" t="str">
        <x:v>Existe ley previa, pero con dudas parciales sobre alcance o determinación.</x:v>
      </x:c>
      <x:c r="M2" s="12" t="str">
        <x:v>No existe base legal suficiente o la pena/conducta es indeterminada.</x:v>
      </x:c>
      <x:c r="N2" s="12" t="str">
        <x:v>Legalidad penal; lex praevia; lex scripta; nulla poena sine lege.</x:v>
      </x:c>
    </x:row>
    <x:row r="3">
      <x:c r="A3" s="12" t="str">
        <x:v>Control formal</x:v>
      </x:c>
      <x:c r="B3" s="12" t="str">
        <x:v>Legalidad / tipicidad estricta</x:v>
      </x:c>
      <x:c r="C3" s="12" t="str">
        <x:v>LEG-02</x:v>
      </x:c>
      <x:c r="D3" s="12" t="str">
        <x:v>Precisión de la conducta prohibida</x:v>
      </x:c>
      <x:c r="E3" s="14" t="n">
        <x:v>0.25</x:v>
      </x:c>
      <x:c r="F3" s="18" t="n">
        <x:v>0</x:v>
      </x:c>
      <x:c r="G3" s="18" t="n">
        <x:f>E3*F3</x:f>
        <x:v>0</x:v>
      </x:c>
      <x:c r="H3" s="12" t="str">
        <x:v>Valor × 0,25</x:v>
      </x:c>
      <x:c r="I3" s="12" t="str">
        <x:v>Legalidad = SUMA(LEG-i × Peso)</x:v>
      </x:c>
      <x:c r="J3" s="12" t="str">
        <x:v>Evalúa si la conducta típica está descrita con precisión suficiente y no depende de conceptos excesivamente abiertos.</x:v>
      </x:c>
      <x:c r="K3" s="12" t="str">
        <x:v>La conducta está claramente delimitada y exige actos verificables.</x:v>
      </x:c>
      <x:c r="L3" s="12" t="str">
        <x:v>La conducta tiene delimitación parcial, pero admite zonas grises.</x:v>
      </x:c>
      <x:c r="M3" s="12" t="str">
        <x:v>La conducta es abierta, amplia o permite criminalizar protesta protegida.</x:v>
      </x:c>
      <x:c r="N3" s="12" t="str">
        <x:v>Tipicidad estricta; taxatividad; previsibilidad normativa.</x:v>
      </x:c>
    </x:row>
    <x:row r="4">
      <x:c r="A4" s="12" t="str">
        <x:v>Control formal</x:v>
      </x:c>
      <x:c r="B4" s="12" t="str">
        <x:v>Legalidad / tipicidad estricta</x:v>
      </x:c>
      <x:c r="C4" s="12" t="str">
        <x:v>LEG-03</x:v>
      </x:c>
      <x:c r="D4" s="12" t="str">
        <x:v>Delimitación de sujetos responsables</x:v>
      </x:c>
      <x:c r="E4" s="14" t="n">
        <x:v>0.15</x:v>
      </x:c>
      <x:c r="F4" s="18" t="n">
        <x:v>0</x:v>
      </x:c>
      <x:c r="G4" s="18" t="n">
        <x:f>E4*F4</x:f>
        <x:v>0</x:v>
      </x:c>
      <x:c r="H4" s="12" t="str">
        <x:v>Valor × 0,15</x:v>
      </x:c>
      <x:c r="I4" s="12" t="str">
        <x:v>Legalidad = SUMA(LEG-i × Peso)</x:v>
      </x:c>
      <x:c r="J4" s="12" t="str">
        <x:v>Evalúa si el tipo permite identificar responsables individuales y evita imputaciones colectivas o genéricas.</x:v>
      </x:c>
      <x:c r="K4" s="12" t="str">
        <x:v>La responsabilidad exige autoría individual clara.</x:v>
      </x:c>
      <x:c r="L4" s="12" t="str">
        <x:v>Puede individualizar, pero admite riesgo de imputación grupal.</x:v>
      </x:c>
      <x:c r="M4" s="12" t="str">
        <x:v>Permite imputación colectiva o por pertenencia a grupo/protesta.</x:v>
      </x:c>
      <x:c r="N4" s="12" t="str">
        <x:v>Responsabilidad penal individual; prohibición de responsabilidad objetiva.</x:v>
      </x:c>
    </x:row>
    <x:row r="5">
      <x:c r="A5" s="12" t="str">
        <x:v>Control formal</x:v>
      </x:c>
      <x:c r="B5" s="12" t="str">
        <x:v>Legalidad / tipicidad estricta</x:v>
      </x:c>
      <x:c r="C5" s="12" t="str">
        <x:v>LEG-04</x:v>
      </x:c>
      <x:c r="D5" s="12" t="str">
        <x:v>Elementos objetivos y subjetivos claros</x:v>
      </x:c>
      <x:c r="E5" s="14" t="n">
        <x:v>0.25</x:v>
      </x:c>
      <x:c r="F5" s="18" t="n">
        <x:v>0</x:v>
      </x:c>
      <x:c r="G5" s="18" t="n">
        <x:f>E5*F5</x:f>
        <x:v>0</x:v>
      </x:c>
      <x:c r="H5" s="12" t="str">
        <x:v>Valor × 0,25</x:v>
      </x:c>
      <x:c r="I5" s="12" t="str">
        <x:v>Legalidad = SUMA(LEG-i × Peso)</x:v>
      </x:c>
      <x:c r="J5" s="12" t="str">
        <x:v>Evalúa si la norma precisa acción, resultado, nexo causal, dolo o finalidad cuando corresponda.</x:v>
      </x:c>
      <x:c r="K5" s="12" t="str">
        <x:v>Los elementos del tipo son completos y verificables.</x:v>
      </x:c>
      <x:c r="L5" s="12" t="str">
        <x:v>Algunos elementos son claros, otros quedan abiertos a interpretación.</x:v>
      </x:c>
      <x:c r="M5" s="12" t="str">
        <x:v>Los elementos son vagos o permiten aplicación expansiva.</x:v>
      </x:c>
      <x:c r="N5" s="12" t="str">
        <x:v>Tipicidad objetiva y subjetiva; dolo; causalidad; exigencia probatoria.</x:v>
      </x:c>
    </x:row>
    <x:row r="6">
      <x:c r="A6" s="12" t="str">
        <x:v>Control formal</x:v>
      </x:c>
      <x:c r="B6" s="12" t="str">
        <x:v>Legalidad / tipicidad estricta</x:v>
      </x:c>
      <x:c r="C6" s="12" t="str">
        <x:v>LEG-05</x:v>
      </x:c>
      <x:c r="D6" s="12" t="str">
        <x:v>Prohibición de analogía o extensión punitiva</x:v>
      </x:c>
      <x:c r="E6" s="14" t="n">
        <x:v>0.15</x:v>
      </x:c>
      <x:c r="F6" s="18" t="n">
        <x:v>0</x:v>
      </x:c>
      <x:c r="G6" s="18" t="n">
        <x:f>E6*F6</x:f>
        <x:v>0</x:v>
      </x:c>
      <x:c r="H6" s="12" t="str">
        <x:v>Valor × 0,15</x:v>
      </x:c>
      <x:c r="I6" s="12" t="str">
        <x:v>Legalidad = SUMA(LEG-i × Peso)</x:v>
      </x:c>
      <x:c r="J6" s="12" t="str">
        <x:v>Evalúa si el tipo reduce el riesgo de aplicación por analogía o extensión contra protesta social o indígena.</x:v>
      </x:c>
      <x:c r="K6" s="12" t="str">
        <x:v>El tipo impide extensión analógica y exige interpretación estricta.</x:v>
      </x:c>
      <x:c r="L6" s="12" t="str">
        <x:v>Existe control interpretativo, pero con riesgo de ampliación.</x:v>
      </x:c>
      <x:c r="M6" s="12" t="str">
        <x:v>Puede aplicarse por analogía o extensión punitiva a protesta protegida.</x:v>
      </x:c>
      <x:c r="N6" s="12" t="str">
        <x:v>Prohibición de analogía in malam partem; interpretación restrictiva penal.</x:v>
      </x:c>
    </x:row>
    <x:row r="7">
      <x:c r="A7" s="12" t="str">
        <x:v>Control formal</x:v>
      </x:c>
      <x:c r="B7" s="12" t="str">
        <x:v>Claridad normativa</x:v>
      </x:c>
      <x:c r="C7" s="12" t="str">
        <x:v>CLA-01</x:v>
      </x:c>
      <x:c r="D7" s="12" t="str">
        <x:v>Comprensibilidad gramatical</x:v>
      </x:c>
      <x:c r="E7" s="14" t="n">
        <x:v>0.2</x:v>
      </x:c>
      <x:c r="F7" s="18" t="n">
        <x:v>0</x:v>
      </x:c>
      <x:c r="G7" s="18" t="n">
        <x:f>E7*F7</x:f>
        <x:v>0</x:v>
      </x:c>
      <x:c r="H7" s="12" t="str">
        <x:v>Valor × 0,20</x:v>
      </x:c>
      <x:c r="I7" s="12" t="str">
        <x:v>Claridad = SUMA(CLA-i × Peso)</x:v>
      </x:c>
      <x:c r="J7" s="12" t="str">
        <x:v>Evalúa si el texto puede entenderse en su lectura ordinaria por operadores jurídicos y ciudadanía.</x:v>
      </x:c>
      <x:c r="K7" s="12" t="str">
        <x:v>Texto claro, comprensible y sin contradicciones relevantes.</x:v>
      </x:c>
      <x:c r="L7" s="12" t="str">
        <x:v>Texto comprensible, pero con términos ambiguos o técnicos no definidos.</x:v>
      </x:c>
      <x:c r="M7" s="12" t="str">
        <x:v>Texto confuso, contradictorio o difícilmente previsible.</x:v>
      </x:c>
      <x:c r="N7" s="12" t="str">
        <x:v>Lex certa; seguridad jurídica; previsibilidad.</x:v>
      </x:c>
    </x:row>
    <x:row r="8">
      <x:c r="A8" s="12" t="str">
        <x:v>Control formal</x:v>
      </x:c>
      <x:c r="B8" s="12" t="str">
        <x:v>Claridad normativa</x:v>
      </x:c>
      <x:c r="C8" s="12" t="str">
        <x:v>CLA-02</x:v>
      </x:c>
      <x:c r="D8" s="12" t="str">
        <x:v>Precisión de verbos rectores</x:v>
      </x:c>
      <x:c r="E8" s="14" t="n">
        <x:v>0.25</x:v>
      </x:c>
      <x:c r="F8" s="18" t="n">
        <x:v>0</x:v>
      </x:c>
      <x:c r="G8" s="18" t="n">
        <x:f>E8*F8</x:f>
        <x:v>0</x:v>
      </x:c>
      <x:c r="H8" s="12" t="str">
        <x:v>Valor × 0,25</x:v>
      </x:c>
      <x:c r="I8" s="12" t="str">
        <x:v>Claridad = SUMA(CLA-i × Peso)</x:v>
      </x:c>
      <x:c r="J8" s="12" t="str">
        <x:v>Evalúa si verbos como impedir, estorbar, entorpecer, resistir o paralizar están suficientemente delimitados.</x:v>
      </x:c>
      <x:c r="K8" s="12" t="str">
        <x:v>Los verbos rectores tienen alcance definido y verificable.</x:v>
      </x:c>
      <x:c r="L8" s="12" t="str">
        <x:v>Los verbos son entendibles, pero pueden abarcar conductas amplias.</x:v>
      </x:c>
      <x:c r="M8" s="12" t="str">
        <x:v>Los verbos son amplios y pueden absorber protesta o reclamo social.</x:v>
      </x:c>
      <x:c r="N8" s="12" t="str">
        <x:v>Taxatividad; precisión lingüística del tipo penal.</x:v>
      </x:c>
    </x:row>
    <x:row r="9">
      <x:c r="A9" s="12" t="str">
        <x:v>Control formal</x:v>
      </x:c>
      <x:c r="B9" s="12" t="str">
        <x:v>Claridad normativa</x:v>
      </x:c>
      <x:c r="C9" s="12" t="str">
        <x:v>CLA-03</x:v>
      </x:c>
      <x:c r="D9" s="12" t="str">
        <x:v>Delimitación del bien jurídico</x:v>
      </x:c>
      <x:c r="E9" s="14" t="n">
        <x:v>0.2</x:v>
      </x:c>
      <x:c r="F9" s="18" t="n">
        <x:v>0</x:v>
      </x:c>
      <x:c r="G9" s="18" t="n">
        <x:f>E9*F9</x:f>
        <x:v>0</x:v>
      </x:c>
      <x:c r="H9" s="12" t="str">
        <x:v>Valor × 0,20</x:v>
      </x:c>
      <x:c r="I9" s="12" t="str">
        <x:v>Claridad = SUMA(CLA-i × Peso)</x:v>
      </x:c>
      <x:c r="J9" s="12" t="str">
        <x:v>Evalúa si la norma identifica claramente el bien jurídico protegido y su nivel de afectación.</x:v>
      </x:c>
      <x:c r="K9" s="12" t="str">
        <x:v>Bien jurídico claro y directamente vinculado a la conducta típica.</x:v>
      </x:c>
      <x:c r="L9" s="12" t="str">
        <x:v>Bien jurídico identificable, pero amplio o de contornos difusos.</x:v>
      </x:c>
      <x:c r="M9" s="12" t="str">
        <x:v>Bien jurídico indeterminado o usado como cláusula abierta de orden público.</x:v>
      </x:c>
      <x:c r="N9" s="12" t="str">
        <x:v>Principio de lesividad; bien jurídico penal.</x:v>
      </x:c>
    </x:row>
    <x:row r="10">
      <x:c r="A10" s="12" t="str">
        <x:v>Control formal</x:v>
      </x:c>
      <x:c r="B10" s="12" t="str">
        <x:v>Claridad normativa</x:v>
      </x:c>
      <x:c r="C10" s="12" t="str">
        <x:v>CLA-04</x:v>
      </x:c>
      <x:c r="D10" s="12" t="str">
        <x:v>Umbral de gravedad</x:v>
      </x:c>
      <x:c r="E10" s="14" t="n">
        <x:v>0.25</x:v>
      </x:c>
      <x:c r="F10" s="18" t="n">
        <x:v>0</x:v>
      </x:c>
      <x:c r="G10" s="18" t="n">
        <x:f>E10*F10</x:f>
        <x:v>0</x:v>
      </x:c>
      <x:c r="H10" s="12" t="str">
        <x:v>Valor × 0,25</x:v>
      </x:c>
      <x:c r="I10" s="12" t="str">
        <x:v>Claridad = SUMA(CLA-i × Peso)</x:v>
      </x:c>
      <x:c r="J10" s="12" t="str">
        <x:v>Evalúa si la norma exige daño grave, riesgo concreto, duración relevante o afectación material significativa.</x:v>
      </x:c>
      <x:c r="K10" s="12" t="str">
        <x:v>Exige daño/riesgo grave, concreto y comprobable.</x:v>
      </x:c>
      <x:c r="L10" s="12" t="str">
        <x:v>Exige cierta afectación, pero sin umbral plenamente definido.</x:v>
      </x:c>
      <x:c r="M10" s="12" t="str">
        <x:v>No exige umbral de gravedad y puede sancionar molestias o afectaciones menores.</x:v>
      </x:c>
      <x:c r="N10" s="12" t="str">
        <x:v>Lesividad; proporcionalidad; mínima intervención.</x:v>
      </x:c>
    </x:row>
    <x:row r="11">
      <x:c r="A11" s="12" t="str">
        <x:v>Control formal</x:v>
      </x:c>
      <x:c r="B11" s="12" t="str">
        <x:v>Claridad normativa</x:v>
      </x:c>
      <x:c r="C11" s="12" t="str">
        <x:v>CLA-05</x:v>
      </x:c>
      <x:c r="D11" s="12" t="str">
        <x:v>Salvaguardas frente a protesta protegida</x:v>
      </x:c>
      <x:c r="E11" s="14" t="n">
        <x:v>0.1</x:v>
      </x:c>
      <x:c r="F11" s="18" t="n">
        <x:v>0</x:v>
      </x:c>
      <x:c r="G11" s="18" t="n">
        <x:f>E11*F11</x:f>
        <x:v>0</x:v>
      </x:c>
      <x:c r="H11" s="12" t="str">
        <x:v>Valor × 0,10</x:v>
      </x:c>
      <x:c r="I11" s="12" t="str">
        <x:v>Claridad = SUMA(CLA-i × Peso)</x:v>
      </x:c>
      <x:c r="J11" s="12" t="str">
        <x:v>Evalúa si la norma evita sancionar expresión, reunión, protesta indígena o defensa territorial legítima.</x:v>
      </x:c>
      <x:c r="K11" s="12" t="str">
        <x:v>Distingue claramente protesta protegida de conducta penal.</x:v>
      </x:c>
      <x:c r="L11" s="12" t="str">
        <x:v>La distinción existe por interpretación, no por texto expreso.</x:v>
      </x:c>
      <x:c r="M11" s="12" t="str">
        <x:v>No contiene salvaguardas y puede criminalizar protesta social o indígena.</x:v>
      </x:c>
      <x:c r="N11" s="12" t="str">
        <x:v>Libertad de expresión; reunión; protesta social; enfoque intercultural.</x:v>
      </x:c>
    </x:row>
    <x:row r="12">
      <x:c r="A12" s="12" t="str">
        <x:v>Control material</x:v>
      </x:c>
      <x:c r="B12" s="12" t="str">
        <x:v>Lesividad</x:v>
      </x:c>
      <x:c r="C12" s="12" t="str">
        <x:v>LES-01</x:v>
      </x:c>
      <x:c r="D12" s="12" t="str">
        <x:v>Daño real</x:v>
      </x:c>
      <x:c r="E12" s="14" t="n">
        <x:v>0.3</x:v>
      </x:c>
      <x:c r="F12" s="18" t="n">
        <x:v>0</x:v>
      </x:c>
      <x:c r="G12" s="18" t="n">
        <x:f>E12*F12</x:f>
        <x:v>0</x:v>
      </x:c>
      <x:c r="H12" s="12" t="str">
        <x:v>Valor × 0,30</x:v>
      </x:c>
      <x:c r="I12" s="12" t="str">
        <x:v>Lesividad = SUMA(LES-i × Peso)</x:v>
      </x:c>
      <x:c r="J12" s="12" t="str">
        <x:v>Evalúa si existe daño material o afectación real, no meramente hipotética o simbólica.</x:v>
      </x:c>
      <x:c r="K12" s="12" t="str">
        <x:v>Daño real probado y directamente vinculado a la conducta.</x:v>
      </x:c>
      <x:c r="L12" s="12" t="str">
        <x:v>Daño posible o parcial, con evidencia limitada.</x:v>
      </x:c>
      <x:c r="M12" s="12" t="str">
        <x:v>No hay daño real; solo molestia, incomodidad o afectación abstracta.</x:v>
      </x:c>
      <x:c r="N12" s="12" t="str">
        <x:v>Principio de lesividad; daño concreto.</x:v>
      </x:c>
    </x:row>
    <x:row r="13">
      <x:c r="A13" s="12" t="str">
        <x:v>Control material</x:v>
      </x:c>
      <x:c r="B13" s="12" t="str">
        <x:v>Lesividad</x:v>
      </x:c>
      <x:c r="C13" s="12" t="str">
        <x:v>LES-02</x:v>
      </x:c>
      <x:c r="D13" s="12" t="str">
        <x:v>Gravedad del daño</x:v>
      </x:c>
      <x:c r="E13" s="14" t="n">
        <x:v>0.25</x:v>
      </x:c>
      <x:c r="F13" s="18" t="n">
        <x:v>0</x:v>
      </x:c>
      <x:c r="G13" s="18" t="n">
        <x:f>E13*F13</x:f>
        <x:v>0</x:v>
      </x:c>
      <x:c r="H13" s="12" t="str">
        <x:v>Valor × 0,25</x:v>
      </x:c>
      <x:c r="I13" s="12" t="str">
        <x:v>Lesividad = SUMA(LES-i × Peso)</x:v>
      </x:c>
      <x:c r="J13" s="12" t="str">
        <x:v>Evalúa la intensidad de afectación al bien jurídico protegido.</x:v>
      </x:c>
      <x:c r="K13" s="12" t="str">
        <x:v>Afectación grave, relevante y jurídicamente significativa.</x:v>
      </x:c>
      <x:c r="L13" s="12" t="str">
        <x:v>Afectación moderada o discutible.</x:v>
      </x:c>
      <x:c r="M13" s="12" t="str">
        <x:v>Afectación leve o irrelevante para justificar derecho penal.</x:v>
      </x:c>
      <x:c r="N13" s="12" t="str">
        <x:v>Proporcionalidad penal; gravedad del injusto.</x:v>
      </x:c>
    </x:row>
    <x:row r="14">
      <x:c r="A14" s="12" t="str">
        <x:v>Control material</x:v>
      </x:c>
      <x:c r="B14" s="12" t="str">
        <x:v>Lesividad</x:v>
      </x:c>
      <x:c r="C14" s="12" t="str">
        <x:v>LES-03</x:v>
      </x:c>
      <x:c r="D14" s="12" t="str">
        <x:v>Concreción del riesgo</x:v>
      </x:c>
      <x:c r="E14" s="14" t="n">
        <x:v>0.25</x:v>
      </x:c>
      <x:c r="F14" s="18" t="n">
        <x:v>0</x:v>
      </x:c>
      <x:c r="G14" s="18" t="n">
        <x:f>E14*F14</x:f>
        <x:v>0</x:v>
      </x:c>
      <x:c r="H14" s="12" t="str">
        <x:v>Valor × 0,25</x:v>
      </x:c>
      <x:c r="I14" s="12" t="str">
        <x:v>Lesividad = SUMA(LES-i × Peso)</x:v>
      </x:c>
      <x:c r="J14" s="12" t="str">
        <x:v>Evalúa si el riesgo es concreto, actual, verificable e individualizable.</x:v>
      </x:c>
      <x:c r="K14" s="12" t="str">
        <x:v>Riesgo concreto, actual y probado.</x:v>
      </x:c>
      <x:c r="L14" s="12" t="str">
        <x:v>Riesgo plausible, pero no plenamente individualizado.</x:v>
      </x:c>
      <x:c r="M14" s="12" t="str">
        <x:v>Riesgo abstracto, hipotético o presumido.</x:v>
      </x:c>
      <x:c r="N14" s="12" t="str">
        <x:v>Peligro concreto; prueba del riesgo.</x:v>
      </x:c>
    </x:row>
    <x:row r="15">
      <x:c r="A15" s="12" t="str">
        <x:v>Control material</x:v>
      </x:c>
      <x:c r="B15" s="12" t="str">
        <x:v>Lesividad</x:v>
      </x:c>
      <x:c r="C15" s="12" t="str">
        <x:v>LES-04</x:v>
      </x:c>
      <x:c r="D15" s="12" t="str">
        <x:v>Prueba individualizada</x:v>
      </x:c>
      <x:c r="E15" s="14" t="n">
        <x:v>0.2</x:v>
      </x:c>
      <x:c r="F15" s="18" t="n">
        <x:v>0</x:v>
      </x:c>
      <x:c r="G15" s="18" t="n">
        <x:f>E15*F15</x:f>
        <x:v>0</x:v>
      </x:c>
      <x:c r="H15" s="12" t="str">
        <x:v>Valor × 0,20</x:v>
      </x:c>
      <x:c r="I15" s="12" t="str">
        <x:v>Lesividad = SUMA(LES-i × Peso)</x:v>
      </x:c>
      <x:c r="J15" s="12" t="str">
        <x:v>Evalúa si conducta, daño y nexo causal pueden atribuirse a personas determinadas.</x:v>
      </x:c>
      <x:c r="K15" s="12" t="str">
        <x:v>Autoría, conducta y daño están individualizados.</x:v>
      </x:c>
      <x:c r="L15" s="12" t="str">
        <x:v>Existe individualización parcial o discutible.</x:v>
      </x:c>
      <x:c r="M15" s="12" t="str">
        <x:v>Imputación genérica, colectiva o por presencia en protesta.</x:v>
      </x:c>
      <x:c r="N15" s="12" t="str">
        <x:v>Responsabilidad penal individual; estándar probatorio.</x:v>
      </x:c>
    </x:row>
    <x:row r="16">
      <x:c r="A16" s="12" t="str">
        <x:v>Control material</x:v>
      </x:c>
      <x:c r="B16" s="12" t="str">
        <x:v>Mínima intervención penal</x:v>
      </x:c>
      <x:c r="C16" s="12" t="str">
        <x:v>MIN-01</x:v>
      </x:c>
      <x:c r="D16" s="12" t="str">
        <x:v>Agotamiento de diálogo</x:v>
      </x:c>
      <x:c r="E16" s="14" t="n">
        <x:v>0.25</x:v>
      </x:c>
      <x:c r="F16" s="18" t="n">
        <x:v>0</x:v>
      </x:c>
      <x:c r="G16" s="18" t="n">
        <x:f>E16*F16</x:f>
        <x:v>0</x:v>
      </x:c>
      <x:c r="H16" s="12" t="str">
        <x:v>Valor × 0,25</x:v>
      </x:c>
      <x:c r="I16" s="12" t="str">
        <x:v>Mínima intervención = SUMA(MIN-i × Peso)</x:v>
      </x:c>
      <x:c r="J16" s="12" t="str">
        <x:v>Evalúa si antes de la vía penal existió diálogo efectivo, oportuno y documentado.</x:v>
      </x:c>
      <x:c r="K16" s="12" t="str">
        <x:v>Se agotó diálogo real y culturalmente pertinente.</x:v>
      </x:c>
      <x:c r="L16" s="12" t="str">
        <x:v>Hubo intentos parciales de diálogo.</x:v>
      </x:c>
      <x:c r="M16" s="12" t="str">
        <x:v>No hubo diálogo previo o fue meramente formal.</x:v>
      </x:c>
      <x:c r="N16" s="12" t="str">
        <x:v>Ultima ratio; solución pacífica de conflictos.</x:v>
      </x:c>
    </x:row>
    <x:row r="17">
      <x:c r="A17" s="12" t="str">
        <x:v>Control material</x:v>
      </x:c>
      <x:c r="B17" s="12" t="str">
        <x:v>Mínima intervención penal</x:v>
      </x:c>
      <x:c r="C17" s="12" t="str">
        <x:v>MIN-02</x:v>
      </x:c>
      <x:c r="D17" s="12" t="str">
        <x:v>Consulta previa o vía institucional</x:v>
      </x:c>
      <x:c r="E17" s="14" t="n">
        <x:v>0.25</x:v>
      </x:c>
      <x:c r="F17" s="18" t="n">
        <x:v>0</x:v>
      </x:c>
      <x:c r="G17" s="18" t="n">
        <x:f>E17*F17</x:f>
        <x:v>0</x:v>
      </x:c>
      <x:c r="H17" s="12" t="str">
        <x:v>Valor × 0,25</x:v>
      </x:c>
      <x:c r="I17" s="12" t="str">
        <x:v>Mínima intervención = SUMA(MIN-i × Peso)</x:v>
      </x:c>
      <x:c r="J17" s="12" t="str">
        <x:v>Evalúa si existió consulta previa, participación o canal institucional adecuado en conflictos indígenas.</x:v>
      </x:c>
      <x:c r="K17" s="12" t="str">
        <x:v>Consulta/vía institucional fue previa, adecuada y efectiva.</x:v>
      </x:c>
      <x:c r="L17" s="12" t="str">
        <x:v>Existió vía institucional parcial o tardía.</x:v>
      </x:c>
      <x:c r="M17" s="12" t="str">
        <x:v>No existió consulta ni canal institucional efectivo.</x:v>
      </x:c>
      <x:c r="N17" s="12" t="str">
        <x:v>Consulta previa; participación; derechos de pueblos indígenas.</x:v>
      </x:c>
    </x:row>
    <x:row r="18">
      <x:c r="A18" s="12" t="str">
        <x:v>Control material</x:v>
      </x:c>
      <x:c r="B18" s="12" t="str">
        <x:v>Mínima intervención penal</x:v>
      </x:c>
      <x:c r="C18" s="12" t="str">
        <x:v>MIN-03</x:v>
      </x:c>
      <x:c r="D18" s="12" t="str">
        <x:v>Existencia de medidas no penales</x:v>
      </x:c>
      <x:c r="E18" s="14" t="n">
        <x:v>0.25</x:v>
      </x:c>
      <x:c r="F18" s="18" t="n">
        <x:v>0</x:v>
      </x:c>
      <x:c r="G18" s="18" t="n">
        <x:f>E18*F18</x:f>
        <x:v>0</x:v>
      </x:c>
      <x:c r="H18" s="12" t="str">
        <x:v>Valor × 0,25</x:v>
      </x:c>
      <x:c r="I18" s="12" t="str">
        <x:v>Mínima intervención = SUMA(MIN-i × Peso)</x:v>
      </x:c>
      <x:c r="J18" s="12" t="str">
        <x:v>Evalúa si había alternativas administrativas, civiles, mediación, gestión territorial o medidas no penales suficientes.</x:v>
      </x:c>
      <x:c r="K18" s="12" t="str">
        <x:v>No había alternativas igualmente eficaces a la vía penal.</x:v>
      </x:c>
      <x:c r="L18" s="12" t="str">
        <x:v>Había alternativas, pero con eficacia discutible.</x:v>
      </x:c>
      <x:c r="M18" s="12" t="str">
        <x:v>Existían alternativas no penales suficientes y no fueron usadas.</x:v>
      </x:c>
      <x:c r="N18" s="12" t="str">
        <x:v>Subsidiariedad penal; proporcionalidad.</x:v>
      </x:c>
    </x:row>
    <x:row r="19">
      <x:c r="A19" s="12" t="str">
        <x:v>Control material</x:v>
      </x:c>
      <x:c r="B19" s="12" t="str">
        <x:v>Mínima intervención penal</x:v>
      </x:c>
      <x:c r="C19" s="12" t="str">
        <x:v>MIN-04</x:v>
      </x:c>
      <x:c r="D19" s="12" t="str">
        <x:v>Derecho penal como última ratio</x:v>
      </x:c>
      <x:c r="E19" s="14" t="n">
        <x:v>0.25</x:v>
      </x:c>
      <x:c r="F19" s="18" t="n">
        <x:v>0</x:v>
      </x:c>
      <x:c r="G19" s="18" t="n">
        <x:f>E19*F19</x:f>
        <x:v>0</x:v>
      </x:c>
      <x:c r="H19" s="12" t="str">
        <x:v>Valor × 0,25</x:v>
      </x:c>
      <x:c r="I19" s="12" t="str">
        <x:v>Mínima intervención = SUMA(MIN-i × Peso)</x:v>
      </x:c>
      <x:c r="J19" s="12" t="str">
        <x:v>Evalúa si la intervención penal fue excepcional, necesaria e indispensable.</x:v>
      </x:c>
      <x:c r="K19" s="12" t="str">
        <x:v>La vía penal fue última opción y estaba justificada.</x:v>
      </x:c>
      <x:c r="L19" s="12" t="str">
        <x:v>La vía penal fue usada con justificación incompleta.</x:v>
      </x:c>
      <x:c r="M19" s="12" t="str">
        <x:v>La vía penal fue primera respuesta o mecanismo de disuasión de protesta.</x:v>
      </x:c>
      <x:c r="N19" s="12" t="str">
        <x:v>Mínima intervención; ultima ratio; no criminalización.</x:v>
      </x:c>
    </x:row>
    <x:row r="20">
      <x:c r="A20" s="12" t="str">
        <x:v>Test europeo de proporcionalidad</x:v>
      </x:c>
      <x:c r="B20" s="12" t="str">
        <x:v>Idoneidad</x:v>
      </x:c>
      <x:c r="C20" s="12" t="str">
        <x:v>IDO-01</x:v>
      </x:c>
      <x:c r="D20" s="12" t="str">
        <x:v>Finalidad legítima</x:v>
      </x:c>
      <x:c r="E20" s="14" t="n">
        <x:v>0.15</x:v>
      </x:c>
      <x:c r="F20" s="18" t="n">
        <x:v>0</x:v>
      </x:c>
      <x:c r="G20" s="18" t="n">
        <x:f>E20*F20</x:f>
        <x:v>0</x:v>
      </x:c>
      <x:c r="H20" s="12" t="str">
        <x:v>Valor × 0,15</x:v>
      </x:c>
      <x:c r="I20" s="12" t="str">
        <x:v>Idoneidad = SUMA(IDO-i × Peso)</x:v>
      </x:c>
      <x:c r="J20" s="12" t="str">
        <x:v>Evalúa si la persecución penal persigue un fin constitucionalmente legítimo.</x:v>
      </x:c>
      <x:c r="K20" s="12" t="str">
        <x:v>Finalidad constitucional clara y legítima.</x:v>
      </x:c>
      <x:c r="L20" s="12" t="str">
        <x:v>Finalidad legítima, pero formulada de forma genérica.</x:v>
      </x:c>
      <x:c r="M20" s="12" t="str">
        <x:v>Finalidad aparente, política o dirigida a neutralizar protesta.</x:v>
      </x:c>
      <x:c r="N20" s="12" t="str">
        <x:v>Proporcionalidad; finalidad legítima.</x:v>
      </x:c>
    </x:row>
    <x:row r="21">
      <x:c r="A21" s="12" t="str">
        <x:v>Test europeo de proporcionalidad</x:v>
      </x:c>
      <x:c r="B21" s="12" t="str">
        <x:v>Idoneidad</x:v>
      </x:c>
      <x:c r="C21" s="12" t="str">
        <x:v>IDO-02</x:v>
      </x:c>
      <x:c r="D21" s="12" t="str">
        <x:v>Conexión medio-fin</x:v>
      </x:c>
      <x:c r="E21" s="14" t="n">
        <x:v>0.15</x:v>
      </x:c>
      <x:c r="F21" s="18" t="n">
        <x:v>0</x:v>
      </x:c>
      <x:c r="G21" s="18" t="n">
        <x:f>E21*F21</x:f>
        <x:v>0</x:v>
      </x:c>
      <x:c r="H21" s="12" t="str">
        <x:v>Valor × 0,15</x:v>
      </x:c>
      <x:c r="I21" s="12" t="str">
        <x:v>Idoneidad = SUMA(IDO-i × Peso)</x:v>
      </x:c>
      <x:c r="J21" s="12" t="str">
        <x:v>Evalúa si la vía penal contribuye realmente a proteger el bien jurídico invocado.</x:v>
      </x:c>
      <x:c r="K21" s="12" t="str">
        <x:v>La vía penal contribuye directamente al fin legítimo.</x:v>
      </x:c>
      <x:c r="L21" s="12" t="str">
        <x:v>La conexión existe, pero es débil o indirecta.</x:v>
      </x:c>
      <x:c r="M21" s="12" t="str">
        <x:v>No hay conexión real entre persecución penal y protección del bien jurídico.</x:v>
      </x:c>
      <x:c r="N21" s="12" t="str">
        <x:v>Idoneidad; racionalidad medio-fin.</x:v>
      </x:c>
    </x:row>
    <x:row r="22">
      <x:c r="A22" s="12" t="str">
        <x:v>Test europeo de proporcionalidad</x:v>
      </x:c>
      <x:c r="B22" s="12" t="str">
        <x:v>Idoneidad</x:v>
      </x:c>
      <x:c r="C22" s="12" t="str">
        <x:v>IDO-03</x:v>
      </x:c>
      <x:c r="D22" s="12" t="str">
        <x:v>Riesgo real actual individualizado</x:v>
      </x:c>
      <x:c r="E22" s="14" t="n">
        <x:v>0.2</x:v>
      </x:c>
      <x:c r="F22" s="18" t="n">
        <x:v>0</x:v>
      </x:c>
      <x:c r="G22" s="18" t="n">
        <x:f>E22*F22</x:f>
        <x:v>0</x:v>
      </x:c>
      <x:c r="H22" s="12" t="str">
        <x:v>Valor × 0,20</x:v>
      </x:c>
      <x:c r="I22" s="12" t="str">
        <x:v>Idoneidad = SUMA(IDO-i × Peso)</x:v>
      </x:c>
      <x:c r="J22" s="12" t="str">
        <x:v>Evalúa si existe riesgo actual atribuible a conductas determinadas.</x:v>
      </x:c>
      <x:c r="K22" s="12" t="str">
        <x:v>Riesgo actual, real e individualizado.</x:v>
      </x:c>
      <x:c r="L22" s="12" t="str">
        <x:v>Riesgo actual parcialmente acreditado.</x:v>
      </x:c>
      <x:c r="M22" s="12" t="str">
        <x:v>Riesgo genérico, abstracto o no individualizado.</x:v>
      </x:c>
      <x:c r="N22" s="12" t="str">
        <x:v>Peligro concreto; estándar fáctico.</x:v>
      </x:c>
    </x:row>
    <x:row r="23">
      <x:c r="A23" s="12" t="str">
        <x:v>Test europeo de proporcionalidad</x:v>
      </x:c>
      <x:c r="B23" s="12" t="str">
        <x:v>Idoneidad</x:v>
      </x:c>
      <x:c r="C23" s="12" t="str">
        <x:v>IDO-04</x:v>
      </x:c>
      <x:c r="D23" s="12" t="str">
        <x:v>Violencia grave o lesividad relevante</x:v>
      </x:c>
      <x:c r="E23" s="14" t="n">
        <x:v>0.2</x:v>
      </x:c>
      <x:c r="F23" s="18" t="n">
        <x:v>0</x:v>
      </x:c>
      <x:c r="G23" s="18" t="n">
        <x:f>E23*F23</x:f>
        <x:v>0</x:v>
      </x:c>
      <x:c r="H23" s="12" t="str">
        <x:v>Valor × 0,20</x:v>
      </x:c>
      <x:c r="I23" s="12" t="str">
        <x:v>Idoneidad = SUMA(IDO-i × Peso)</x:v>
      </x:c>
      <x:c r="J23" s="12" t="str">
        <x:v>Evalúa si existe violencia grave, daño relevante o peligro cierto.</x:v>
      </x:c>
      <x:c r="K23" s="12" t="str">
        <x:v>Violencia grave o daño relevante probado.</x:v>
      </x:c>
      <x:c r="L23" s="12" t="str">
        <x:v>Violencia/daño moderado o discutible.</x:v>
      </x:c>
      <x:c r="M23" s="12" t="str">
        <x:v>No hay violencia grave ni lesividad penalmente relevante.</x:v>
      </x:c>
      <x:c r="N23" s="12" t="str">
        <x:v>Lesividad; gravedad; proporcionalidad penal.</x:v>
      </x:c>
    </x:row>
    <x:row r="24">
      <x:c r="A24" s="12" t="str">
        <x:v>Test europeo de proporcionalidad</x:v>
      </x:c>
      <x:c r="B24" s="12" t="str">
        <x:v>Idoneidad</x:v>
      </x:c>
      <x:c r="C24" s="12" t="str">
        <x:v>IDO-05</x:v>
      </x:c>
      <x:c r="D24" s="12" t="str">
        <x:v>Delimitación estricta de aplicación</x:v>
      </x:c>
      <x:c r="E24" s="14" t="n">
        <x:v>0.1</x:v>
      </x:c>
      <x:c r="F24" s="18" t="n">
        <x:v>0</x:v>
      </x:c>
      <x:c r="G24" s="18" t="n">
        <x:f>E24*F24</x:f>
        <x:v>0</x:v>
      </x:c>
      <x:c r="H24" s="12" t="str">
        <x:v>Valor × 0,10</x:v>
      </x:c>
      <x:c r="I24" s="12" t="str">
        <x:v>Idoneidad = SUMA(IDO-i × Peso)</x:v>
      </x:c>
      <x:c r="J24" s="12" t="str">
        <x:v>Evalúa si se distingue protesta protegida de conducta penalmente relevante.</x:v>
      </x:c>
      <x:c r="K24" s="12" t="str">
        <x:v>Aplicación estricta y diferenciada.</x:v>
      </x:c>
      <x:c r="L24" s="12" t="str">
        <x:v>Diferenciación parcial o dependiente de interpretación.</x:v>
      </x:c>
      <x:c r="M24" s="12" t="str">
        <x:v>No diferencia protesta protegida de delito.</x:v>
      </x:c>
      <x:c r="N24" s="12" t="str">
        <x:v>Control de convencionalidad; protesta protegida.</x:v>
      </x:c>
    </x:row>
    <x:row r="25">
      <x:c r="A25" s="12" t="str">
        <x:v>Test europeo de proporcionalidad</x:v>
      </x:c>
      <x:c r="B25" s="12" t="str">
        <x:v>Idoneidad</x:v>
      </x:c>
      <x:c r="C25" s="12" t="str">
        <x:v>IDO-06</x:v>
      </x:c>
      <x:c r="D25" s="12" t="str">
        <x:v>Evidencia fáctica suficiente</x:v>
      </x:c>
      <x:c r="E25" s="14" t="n">
        <x:v>0.1</x:v>
      </x:c>
      <x:c r="F25" s="18" t="n">
        <x:v>0</x:v>
      </x:c>
      <x:c r="G25" s="18" t="n">
        <x:f>E25*F25</x:f>
        <x:v>0</x:v>
      </x:c>
      <x:c r="H25" s="12" t="str">
        <x:v>Valor × 0,10</x:v>
      </x:c>
      <x:c r="I25" s="12" t="str">
        <x:v>Idoneidad = SUMA(IDO-i × Peso)</x:v>
      </x:c>
      <x:c r="J25" s="12" t="str">
        <x:v>Evalúa si los hechos están sustentados en evidencia verificable y no en presunciones.</x:v>
      </x:c>
      <x:c r="K25" s="12" t="str">
        <x:v>Evidencia suficiente, verificable e individualizada.</x:v>
      </x:c>
      <x:c r="L25" s="12" t="str">
        <x:v>Evidencia parcial o débil.</x:v>
      </x:c>
      <x:c r="M25" s="12" t="str">
        <x:v>Evidencia insuficiente, general o presuntiva.</x:v>
      </x:c>
      <x:c r="N25" s="12" t="str">
        <x:v>Debido proceso; prueba; motivación.</x:v>
      </x:c>
    </x:row>
    <x:row r="26">
      <x:c r="A26" s="12" t="str">
        <x:v>Test europeo de proporcionalidad</x:v>
      </x:c>
      <x:c r="B26" s="12" t="str">
        <x:v>Idoneidad</x:v>
      </x:c>
      <x:c r="C26" s="12" t="str">
        <x:v>IDO-07</x:v>
      </x:c>
      <x:c r="D26" s="12" t="str">
        <x:v>Enfoque intercultural inicial</x:v>
      </x:c>
      <x:c r="E26" s="14" t="n">
        <x:v>0.1</x:v>
      </x:c>
      <x:c r="F26" s="18" t="n">
        <x:v>0</x:v>
      </x:c>
      <x:c r="G26" s="18" t="n">
        <x:f>E26*F26</x:f>
        <x:v>0</x:v>
      </x:c>
      <x:c r="H26" s="12" t="str">
        <x:v>Valor × 0,10</x:v>
      </x:c>
      <x:c r="I26" s="12" t="str">
        <x:v>Idoneidad = SUMA(IDO-i × Peso)</x:v>
      </x:c>
      <x:c r="J26" s="12" t="str">
        <x:v>Evalúa si se consideran territorio, cultura, consulta previa y formas propias de organización.</x:v>
      </x:c>
      <x:c r="K26" s="12" t="str">
        <x:v>Análisis incorpora enfoque intercultural completo.</x:v>
      </x:c>
      <x:c r="L26" s="12" t="str">
        <x:v>Enfoque intercultural parcial o formal.</x:v>
      </x:c>
      <x:c r="M26" s="12" t="str">
        <x:v>No incorpora enfoque intercultural.</x:v>
      </x:c>
      <x:c r="N26" s="12" t="str">
        <x:v>Interculturalidad; derechos colectivos; pueblos indígenas.</x:v>
      </x:c>
    </x:row>
    <x:row r="27">
      <x:c r="A27" s="12" t="str">
        <x:v>Test europeo de proporcionalidad</x:v>
      </x:c>
      <x:c r="B27" s="12" t="str">
        <x:v>Necesidad penal</x:v>
      </x:c>
      <x:c r="C27" s="12" t="str">
        <x:v>NEC-01</x:v>
      </x:c>
      <x:c r="D27" s="12" t="str">
        <x:v>Diálogo previo</x:v>
      </x:c>
      <x:c r="E27" s="14" t="n">
        <x:v>0.15</x:v>
      </x:c>
      <x:c r="F27" s="18" t="n">
        <x:v>0</x:v>
      </x:c>
      <x:c r="G27" s="18" t="n">
        <x:f>E27*F27</x:f>
        <x:v>0</x:v>
      </x:c>
      <x:c r="H27" s="12" t="str">
        <x:v>Valor × 0,15</x:v>
      </x:c>
      <x:c r="I27" s="12" t="str">
        <x:v>Necesidad penal = SUMA(NEC-i × Peso)</x:v>
      </x:c>
      <x:c r="J27" s="12" t="str">
        <x:v>Evalúa si se intentó diálogo antes de activar el sistema penal.</x:v>
      </x:c>
      <x:c r="K27" s="12" t="str">
        <x:v>Diálogo real, oportuno y documentado.</x:v>
      </x:c>
      <x:c r="L27" s="12" t="str">
        <x:v>Diálogo parcial o insuficiente.</x:v>
      </x:c>
      <x:c r="M27" s="12" t="str">
        <x:v>No hubo diálogo previo.</x:v>
      </x:c>
      <x:c r="N27" s="12" t="str">
        <x:v>Necesidad; medios menos lesivos.</x:v>
      </x:c>
    </x:row>
    <x:row r="28">
      <x:c r="A28" s="12" t="str">
        <x:v>Test europeo de proporcionalidad</x:v>
      </x:c>
      <x:c r="B28" s="12" t="str">
        <x:v>Necesidad penal</x:v>
      </x:c>
      <x:c r="C28" s="12" t="str">
        <x:v>NEC-02</x:v>
      </x:c>
      <x:c r="D28" s="12" t="str">
        <x:v>Consulta previa adecuada</x:v>
      </x:c>
      <x:c r="E28" s="14" t="n">
        <x:v>0.2</x:v>
      </x:c>
      <x:c r="F28" s="18" t="n">
        <x:v>0</x:v>
      </x:c>
      <x:c r="G28" s="18" t="n">
        <x:f>E28*F28</x:f>
        <x:v>0</x:v>
      </x:c>
      <x:c r="H28" s="12" t="str">
        <x:v>Valor × 0,20</x:v>
      </x:c>
      <x:c r="I28" s="12" t="str">
        <x:v>Necesidad penal = SUMA(NEC-i × Peso)</x:v>
      </x:c>
      <x:c r="J28" s="12" t="str">
        <x:v>Evalúa si la consulta fue previa, libre, informada y culturalmente adecuada.</x:v>
      </x:c>
      <x:c r="K28" s="12" t="str">
        <x:v>Consulta adecuada y efectiva.</x:v>
      </x:c>
      <x:c r="L28" s="12" t="str">
        <x:v>Consulta parcial, tardía o insuficiente.</x:v>
      </x:c>
      <x:c r="M28" s="12" t="str">
        <x:v>No hubo consulta cuando correspondía.</x:v>
      </x:c>
      <x:c r="N28" s="12" t="str">
        <x:v>Consulta previa; Convenio 169 OIT; estándares interamericanos.</x:v>
      </x:c>
    </x:row>
    <x:row r="29">
      <x:c r="A29" s="12" t="str">
        <x:v>Test europeo de proporcionalidad</x:v>
      </x:c>
      <x:c r="B29" s="12" t="str">
        <x:v>Necesidad penal</x:v>
      </x:c>
      <x:c r="C29" s="12" t="str">
        <x:v>NEC-03</x:v>
      </x:c>
      <x:c r="D29" s="12" t="str">
        <x:v>Mediación intercultural</x:v>
      </x:c>
      <x:c r="E29" s="14" t="n">
        <x:v>0.15</x:v>
      </x:c>
      <x:c r="F29" s="18" t="n">
        <x:v>0</x:v>
      </x:c>
      <x:c r="G29" s="18" t="n">
        <x:f>E29*F29</x:f>
        <x:v>0</x:v>
      </x:c>
      <x:c r="H29" s="12" t="str">
        <x:v>Valor × 0,15</x:v>
      </x:c>
      <x:c r="I29" s="12" t="str">
        <x:v>Necesidad penal = SUMA(NEC-i × Peso)</x:v>
      </x:c>
      <x:c r="J29" s="12" t="str">
        <x:v>Evalúa si se usaron mecanismos culturalmente pertinentes de solución del conflicto.</x:v>
      </x:c>
      <x:c r="K29" s="12" t="str">
        <x:v>Mediación intercultural usada adecuadamente.</x:v>
      </x:c>
      <x:c r="L29" s="12" t="str">
        <x:v>Mediación parcial o no culturalmente adecuada.</x:v>
      </x:c>
      <x:c r="M29" s="12" t="str">
        <x:v>No se intentó mediación.</x:v>
      </x:c>
      <x:c r="N29" s="12" t="str">
        <x:v>Pluralismo jurídico; mediación; interculturalidad.</x:v>
      </x:c>
    </x:row>
    <x:row r="30">
      <x:c r="A30" s="12" t="str">
        <x:v>Test europeo de proporcionalidad</x:v>
      </x:c>
      <x:c r="B30" s="12" t="str">
        <x:v>Necesidad penal</x:v>
      </x:c>
      <x:c r="C30" s="12" t="str">
        <x:v>NEC-04</x:v>
      </x:c>
      <x:c r="D30" s="12" t="str">
        <x:v>Medidas administrativas o civiles</x:v>
      </x:c>
      <x:c r="E30" s="14" t="n">
        <x:v>0.15</x:v>
      </x:c>
      <x:c r="F30" s="18" t="n">
        <x:v>0</x:v>
      </x:c>
      <x:c r="G30" s="18" t="n">
        <x:f>E30*F30</x:f>
        <x:v>0</x:v>
      </x:c>
      <x:c r="H30" s="12" t="str">
        <x:v>Valor × 0,15</x:v>
      </x:c>
      <x:c r="I30" s="12" t="str">
        <x:v>Necesidad penal = SUMA(NEC-i × Peso)</x:v>
      </x:c>
      <x:c r="J30" s="12" t="str">
        <x:v>Evalúa si existían medidas no penales suficientes para proteger el bien jurídico.</x:v>
      </x:c>
      <x:c r="K30" s="12" t="str">
        <x:v>No existían medidas no penales eficaces.</x:v>
      </x:c>
      <x:c r="L30" s="12" t="str">
        <x:v>Medidas no penales existían, pero con eficacia limitada.</x:v>
      </x:c>
      <x:c r="M30" s="12" t="str">
        <x:v>Medidas no penales suficientes fueron ignoradas.</x:v>
      </x:c>
      <x:c r="N30" s="12" t="str">
        <x:v>Subsidiariedad penal; ultima ratio.</x:v>
      </x:c>
    </x:row>
    <x:row r="31">
      <x:c r="A31" s="12" t="str">
        <x:v>Test europeo de proporcionalidad</x:v>
      </x:c>
      <x:c r="B31" s="12" t="str">
        <x:v>Necesidad penal</x:v>
      </x:c>
      <x:c r="C31" s="12" t="str">
        <x:v>NEC-05</x:v>
      </x:c>
      <x:c r="D31" s="12" t="str">
        <x:v>Medidas preventivas no penales</x:v>
      </x:c>
      <x:c r="E31" s="14" t="n">
        <x:v>0.1</x:v>
      </x:c>
      <x:c r="F31" s="18" t="n">
        <x:v>0</x:v>
      </x:c>
      <x:c r="G31" s="18" t="n">
        <x:f>E31*F31</x:f>
        <x:v>0</x:v>
      </x:c>
      <x:c r="H31" s="12" t="str">
        <x:v>Valor × 0,10</x:v>
      </x:c>
      <x:c r="I31" s="12" t="str">
        <x:v>Necesidad penal = SUMA(NEC-i × Peso)</x:v>
      </x:c>
      <x:c r="J31" s="12" t="str">
        <x:v>Evalúa si pudieron adoptarse medidas de prevención o gestión del conflicto.</x:v>
      </x:c>
      <x:c r="K31" s="12" t="str">
        <x:v>No había medidas preventivas eficaces.</x:v>
      </x:c>
      <x:c r="L31" s="12" t="str">
        <x:v>Había medidas preventivas limitadas.</x:v>
      </x:c>
      <x:c r="M31" s="12" t="str">
        <x:v>Existían medidas preventivas adecuadas no utilizadas.</x:v>
      </x:c>
      <x:c r="N31" s="12" t="str">
        <x:v>Prevención; gestión no penal del conflicto.</x:v>
      </x:c>
    </x:row>
    <x:row r="32">
      <x:c r="A32" s="12" t="str">
        <x:v>Test europeo de proporcionalidad</x:v>
      </x:c>
      <x:c r="B32" s="12" t="str">
        <x:v>Necesidad penal</x:v>
      </x:c>
      <x:c r="C32" s="12" t="str">
        <x:v>NEC-06</x:v>
      </x:c>
      <x:c r="D32" s="12" t="str">
        <x:v>Eficacia de alternativas menos lesivas</x:v>
      </x:c>
      <x:c r="E32" s="14" t="n">
        <x:v>0.15</x:v>
      </x:c>
      <x:c r="F32" s="18" t="n">
        <x:v>0</x:v>
      </x:c>
      <x:c r="G32" s="18" t="n">
        <x:f>E32*F32</x:f>
        <x:v>0</x:v>
      </x:c>
      <x:c r="H32" s="12" t="str">
        <x:v>Valor × 0,15</x:v>
      </x:c>
      <x:c r="I32" s="12" t="str">
        <x:v>Necesidad penal = SUMA(NEC-i × Peso)</x:v>
      </x:c>
      <x:c r="J32" s="12" t="str">
        <x:v>Evalúa si alternativas podían proteger el bien jurídico sin acudir al derecho penal.</x:v>
      </x:c>
      <x:c r="K32" s="12" t="str">
        <x:v>Alternativas menos lesivas eran insuficientes.</x:v>
      </x:c>
      <x:c r="L32" s="12" t="str">
        <x:v>Alternativas viables con eficacia discutible.</x:v>
      </x:c>
      <x:c r="M32" s="12" t="str">
        <x:v>Alternativas menos lesivas eran suficientes.</x:v>
      </x:c>
      <x:c r="N32" s="12" t="str">
        <x:v>Necesidad estricta; proporcionalidad.</x:v>
      </x:c>
    </x:row>
    <x:row r="33">
      <x:c r="A33" s="12" t="str">
        <x:v>Test europeo de proporcionalidad</x:v>
      </x:c>
      <x:c r="B33" s="12" t="str">
        <x:v>Necesidad penal</x:v>
      </x:c>
      <x:c r="C33" s="12" t="str">
        <x:v>NEC-07</x:v>
      </x:c>
      <x:c r="D33" s="12" t="str">
        <x:v>No agotamiento real de alternativas</x:v>
      </x:c>
      <x:c r="E33" s="14" t="n">
        <x:v>0.1</x:v>
      </x:c>
      <x:c r="F33" s="18" t="n">
        <x:v>0</x:v>
      </x:c>
      <x:c r="G33" s="18" t="n">
        <x:f>E33*F33</x:f>
        <x:v>0</x:v>
      </x:c>
      <x:c r="H33" s="12" t="str">
        <x:v>Valor × 0,10</x:v>
      </x:c>
      <x:c r="I33" s="12" t="str">
        <x:v>Necesidad penal = SUMA(NEC-i × Peso)</x:v>
      </x:c>
      <x:c r="J33" s="12" t="str">
        <x:v>Evalúa si el Estado probó que las alternativas no penales eran insuficientes.</x:v>
      </x:c>
      <x:c r="K33" s="12" t="str">
        <x:v>El Estado probó agotamiento de alternativas.</x:v>
      </x:c>
      <x:c r="L33" s="12" t="str">
        <x:v>Agotamiento parcial o insuficientemente motivado.</x:v>
      </x:c>
      <x:c r="M33" s="12" t="str">
        <x:v>No se agotaron alternativas.</x:v>
      </x:c>
      <x:c r="N33" s="12" t="str">
        <x:v>Carga de justificación estatal; motivación reforzada.</x:v>
      </x:c>
    </x:row>
    <x:row r="34">
      <x:c r="A34" s="12" t="str">
        <x:v>Ponderación de Alexy</x:v>
      </x:c>
      <x:c r="B34" s="12" t="str">
        <x:v>Peso derechos indígenas</x:v>
      </x:c>
      <x:c r="C34" s="12" t="str">
        <x:v>PDI-01</x:v>
      </x:c>
      <x:c r="D34" s="12" t="str">
        <x:v>Intensidad de afectación territorial/cultural</x:v>
      </x:c>
      <x:c r="E34" s="14" t="n">
        <x:v>0.35</x:v>
      </x:c>
      <x:c r="F34" s="18" t="n">
        <x:v>0</x:v>
      </x:c>
      <x:c r="G34" s="18" t="n">
        <x:f>E34*F34</x:f>
        <x:v>0</x:v>
      </x:c>
      <x:c r="H34" s="12" t="str">
        <x:v>Valor × 0,35</x:v>
      </x:c>
      <x:c r="I34" s="12" t="str">
        <x:v>Peso derechos indígenas = SUMA(PDI-i × Peso)</x:v>
      </x:c>
      <x:c r="J34" s="12" t="str">
        <x:v>Evalúa afectación a territorio, cultura, consulta, organización comunitaria o defensa ambiental.</x:v>
      </x:c>
      <x:c r="K34" s="12" t="str">
        <x:v>Afectación intensa a territorio/cultura/derechos colectivos.</x:v>
      </x:c>
      <x:c r="L34" s="12" t="str">
        <x:v>Afectación moderada o indirecta.</x:v>
      </x:c>
      <x:c r="M34" s="12" t="str">
        <x:v>Afectación leve o no acreditada.</x:v>
      </x:c>
      <x:c r="N34" s="12" t="str">
        <x:v>Derechos colectivos; territorio; identidad cultural.</x:v>
      </x:c>
    </x:row>
    <x:row r="35">
      <x:c r="A35" s="12" t="str">
        <x:v>Ponderación de Alexy</x:v>
      </x:c>
      <x:c r="B35" s="12" t="str">
        <x:v>Peso derechos indígenas</x:v>
      </x:c>
      <x:c r="C35" s="12" t="str">
        <x:v>PDI-02</x:v>
      </x:c>
      <x:c r="D35" s="12" t="str">
        <x:v>Peso abstracto del derecho indígena comprometido</x:v>
      </x:c>
      <x:c r="E35" s="14" t="n">
        <x:v>0.35</x:v>
      </x:c>
      <x:c r="F35" s="18" t="n">
        <x:v>0</x:v>
      </x:c>
      <x:c r="G35" s="18" t="n">
        <x:f>E35*F35</x:f>
        <x:v>0</x:v>
      </x:c>
      <x:c r="H35" s="12" t="str">
        <x:v>Valor × 0,35</x:v>
      </x:c>
      <x:c r="I35" s="12" t="str">
        <x:v>Peso derechos indígenas = SUMA(PDI-i × Peso)</x:v>
      </x:c>
      <x:c r="J35" s="12" t="str">
        <x:v>Evalúa la jerarquía del derecho afectado: territorio, consulta, autodeterminación, expresión o reunión.</x:v>
      </x:c>
      <x:c r="K35" s="12" t="str">
        <x:v>Derecho fundamental/colectivo de máximo peso comprometido.</x:v>
      </x:c>
      <x:c r="L35" s="12" t="str">
        <x:v>Derecho relevante, pero afectación no nuclear.</x:v>
      </x:c>
      <x:c r="M35" s="12" t="str">
        <x:v>Derecho periférico o débilmente relacionado.</x:v>
      </x:c>
      <x:c r="N35" s="12" t="str">
        <x:v>Ponderación de derechos; pro persona; pro pueblos indígenas.</x:v>
      </x:c>
    </x:row>
    <x:row r="36">
      <x:c r="A36" s="12" t="str">
        <x:v>Ponderación de Alexy</x:v>
      </x:c>
      <x:c r="B36" s="12" t="str">
        <x:v>Peso derechos indígenas</x:v>
      </x:c>
      <x:c r="C36" s="12" t="str">
        <x:v>PDI-03</x:v>
      </x:c>
      <x:c r="D36" s="12" t="str">
        <x:v>Fiabilidad probatoria del contexto indígena</x:v>
      </x:c>
      <x:c r="E36" s="14" t="n">
        <x:v>0.3</x:v>
      </x:c>
      <x:c r="F36" s="18" t="n">
        <x:v>0</x:v>
      </x:c>
      <x:c r="G36" s="18" t="n">
        <x:f>E36*F36</x:f>
        <x:v>0</x:v>
      </x:c>
      <x:c r="H36" s="12" t="str">
        <x:v>Valor × 0,30</x:v>
      </x:c>
      <x:c r="I36" s="12" t="str">
        <x:v>Peso derechos indígenas = SUMA(PDI-i × Peso)</x:v>
      </x:c>
      <x:c r="J36" s="12" t="str">
        <x:v>Evalúa respaldo fáctico sobre comunidad, territorio, reclamo, consulta o contexto intercultural.</x:v>
      </x:c>
      <x:c r="K36" s="12" t="str">
        <x:v>Contexto indígena plenamente acreditado.</x:v>
      </x:c>
      <x:c r="L36" s="12" t="str">
        <x:v>Contexto acreditado parcialmente.</x:v>
      </x:c>
      <x:c r="M36" s="12" t="str">
        <x:v>Contexto no acreditado o insuficiente.</x:v>
      </x:c>
      <x:c r="N36" s="12" t="str">
        <x:v>Prueba contextual; enfoque intercultural.</x:v>
      </x:c>
    </x:row>
    <x:row r="37">
      <x:c r="A37" s="12" t="str">
        <x:v>Ponderación de Alexy</x:v>
      </x:c>
      <x:c r="B37" s="12" t="str">
        <x:v>Peso interés estatal</x:v>
      </x:c>
      <x:c r="C37" s="12" t="str">
        <x:v>PIE-01</x:v>
      </x:c>
      <x:c r="D37" s="12" t="str">
        <x:v>Intensidad de afectación al interés estatal</x:v>
      </x:c>
      <x:c r="E37" s="14" t="n">
        <x:v>0.35</x:v>
      </x:c>
      <x:c r="F37" s="18" t="n">
        <x:v>0</x:v>
      </x:c>
      <x:c r="G37" s="18" t="n">
        <x:f>E37*F37</x:f>
        <x:v>0</x:v>
      </x:c>
      <x:c r="H37" s="12" t="str">
        <x:v>Valor × 0,35</x:v>
      </x:c>
      <x:c r="I37" s="12" t="str">
        <x:v>Peso interés estatal = SUMA(PIE-i × Peso)</x:v>
      </x:c>
      <x:c r="J37" s="12" t="str">
        <x:v>Evalúa afectación real a orden público, seguridad, circulación, propiedad, servicios o integridad.</x:v>
      </x:c>
      <x:c r="K37" s="12" t="str">
        <x:v>Afectación estatal grave y concreta.</x:v>
      </x:c>
      <x:c r="L37" s="12" t="str">
        <x:v>Afectación moderada o parcial.</x:v>
      </x:c>
      <x:c r="M37" s="12" t="str">
        <x:v>Afectación leve, abstracta o no probada.</x:v>
      </x:c>
      <x:c r="N37" s="12" t="str">
        <x:v>Interés público; orden público; seguridad; servicios.</x:v>
      </x:c>
    </x:row>
    <x:row r="38">
      <x:c r="A38" s="12" t="str">
        <x:v>Ponderación de Alexy</x:v>
      </x:c>
      <x:c r="B38" s="12" t="str">
        <x:v>Peso interés estatal</x:v>
      </x:c>
      <x:c r="C38" s="12" t="str">
        <x:v>PIE-02</x:v>
      </x:c>
      <x:c r="D38" s="12" t="str">
        <x:v>Peso abstracto del interés estatal</x:v>
      </x:c>
      <x:c r="E38" s="14" t="n">
        <x:v>0.35</x:v>
      </x:c>
      <x:c r="F38" s="18" t="n">
        <x:v>0</x:v>
      </x:c>
      <x:c r="G38" s="18" t="n">
        <x:f>E38*F38</x:f>
        <x:v>0</x:v>
      </x:c>
      <x:c r="H38" s="12" t="str">
        <x:v>Valor × 0,35</x:v>
      </x:c>
      <x:c r="I38" s="12" t="str">
        <x:v>Peso interés estatal = SUMA(PIE-i × Peso)</x:v>
      </x:c>
      <x:c r="J38" s="12" t="str">
        <x:v>Evalúa la importancia constitucional del bien estatal protegido.</x:v>
      </x:c>
      <x:c r="K38" s="12" t="str">
        <x:v>Bien estatal de alto valor constitucional comprometido.</x:v>
      </x:c>
      <x:c r="L38" s="12" t="str">
        <x:v>Bien relevante, pero no nuclear o afectación indirecta.</x:v>
      </x:c>
      <x:c r="M38" s="12" t="str">
        <x:v>Bien estatal débilmente comprometido.</x:v>
      </x:c>
      <x:c r="N38" s="12" t="str">
        <x:v>Ponderación; protección de bienes constitucionales.</x:v>
      </x:c>
    </x:row>
    <x:row r="39">
      <x:c r="A39" s="12" t="str">
        <x:v>Ponderación de Alexy</x:v>
      </x:c>
      <x:c r="B39" s="12" t="str">
        <x:v>Peso interés estatal</x:v>
      </x:c>
      <x:c r="C39" s="12" t="str">
        <x:v>PIE-03</x:v>
      </x:c>
      <x:c r="D39" s="12" t="str">
        <x:v>Fiabilidad probatoria del daño estatal</x:v>
      </x:c>
      <x:c r="E39" s="14" t="n">
        <x:v>0.3</x:v>
      </x:c>
      <x:c r="F39" s="18" t="n">
        <x:v>0</x:v>
      </x:c>
      <x:c r="G39" s="18" t="n">
        <x:f>E39*F39</x:f>
        <x:v>0</x:v>
      </x:c>
      <x:c r="H39" s="12" t="str">
        <x:v>Valor × 0,30</x:v>
      </x:c>
      <x:c r="I39" s="12" t="str">
        <x:v>Peso interés estatal = SUMA(PIE-i × Peso)</x:v>
      </x:c>
      <x:c r="J39" s="12" t="str">
        <x:v>Evalúa si el Estado prueba la afectación real y su atribución individual.</x:v>
      </x:c>
      <x:c r="K39" s="12" t="str">
        <x:v>Daño estatal probado e individualizado.</x:v>
      </x:c>
      <x:c r="L39" s="12" t="str">
        <x:v>Prueba parcial o discutible.</x:v>
      </x:c>
      <x:c r="M39" s="12" t="str">
        <x:v>Daño no probado o atribución genérica.</x:v>
      </x:c>
      <x:c r="N39" s="12" t="str">
        <x:v>Carga probatoria estatal; debido proceso; motivación.</x:v>
      </x:c>
    </x:row>
    <x:row r="40">
      <x:c r="E40" s="15"/>
      <x:c r="F40" s="19"/>
      <x:c r="G40" s="19"/>
    </x:row>
    <x:row r="41">
      <x:c r="E41" s="15"/>
      <x:c r="F41" s="19"/>
      <x:c r="G41" s="19"/>
    </x:row>
    <x:row r="42">
      <x:c r="E42" s="15"/>
      <x:c r="F42" s="19"/>
      <x:c r="G42" s="19"/>
    </x:row>
    <x:row r="43">
      <x:c r="E43" s="15"/>
      <x:c r="F43" s="19"/>
      <x:c r="G43" s="19"/>
    </x:row>
    <x:row r="44">
      <x:c r="E44" s="15"/>
      <x:c r="F44" s="19"/>
      <x:c r="G44" s="19"/>
    </x:row>
    <x:row r="45">
      <x:c r="E45" s="15"/>
      <x:c r="F45" s="19"/>
      <x:c r="G45" s="19"/>
    </x:row>
    <x:row r="46">
      <x:c r="E46" s="15"/>
      <x:c r="F46" s="19"/>
      <x:c r="G46" s="19"/>
    </x:row>
    <x:row r="47">
      <x:c r="E47" s="15"/>
      <x:c r="F47" s="19"/>
      <x:c r="G47" s="19"/>
    </x:row>
    <x:row r="48">
      <x:c r="E48" s="15"/>
      <x:c r="F48" s="19"/>
      <x:c r="G48" s="19"/>
    </x:row>
    <x:row r="49">
      <x:c r="E49" s="15"/>
      <x:c r="F49" s="19"/>
      <x:c r="G49" s="19"/>
    </x:row>
    <x:row r="50">
      <x:c r="E50" s="15"/>
      <x:c r="F50" s="19"/>
      <x:c r="G50" s="19"/>
    </x:row>
    <x:row r="51">
      <x:c r="E51" s="15"/>
      <x:c r="F51" s="19"/>
      <x:c r="G51" s="19"/>
    </x:row>
    <x:row r="52">
      <x:c r="E52" s="15"/>
      <x:c r="F52" s="19"/>
      <x:c r="G52" s="19"/>
    </x:row>
    <x:row r="53">
      <x:c r="E53" s="15"/>
      <x:c r="F53" s="19"/>
      <x:c r="G53" s="19"/>
    </x:row>
    <x:row r="54">
      <x:c r="E54" s="15"/>
      <x:c r="F54" s="19"/>
      <x:c r="G54" s="19"/>
    </x:row>
    <x:row r="55">
      <x:c r="E55" s="15"/>
      <x:c r="F55" s="19"/>
      <x:c r="G55" s="19"/>
    </x:row>
    <x:row r="56">
      <x:c r="E56" s="15"/>
      <x:c r="F56" s="19"/>
      <x:c r="G56" s="19"/>
    </x:row>
    <x:row r="57">
      <x:c r="E57" s="15"/>
      <x:c r="F57" s="19"/>
      <x:c r="G57" s="19"/>
    </x:row>
    <x:row r="58">
      <x:c r="E58" s="15"/>
      <x:c r="F58" s="19"/>
      <x:c r="G58" s="19"/>
    </x:row>
    <x:row r="59">
      <x:c r="E59" s="15"/>
      <x:c r="F59" s="19"/>
      <x:c r="G59" s="19"/>
    </x:row>
    <x:row r="60">
      <x:c r="E60" s="15"/>
      <x:c r="F60" s="19"/>
      <x:c r="G60" s="19"/>
    </x:row>
    <x:row r="61">
      <x:c r="E61" s="15"/>
      <x:c r="F61" s="19"/>
      <x:c r="G61" s="19"/>
    </x:row>
    <x:row r="62">
      <x:c r="E62" s="15"/>
      <x:c r="F62" s="19"/>
      <x:c r="G62" s="19"/>
    </x:row>
    <x:row r="63">
      <x:c r="E63" s="15"/>
      <x:c r="F63" s="19"/>
      <x:c r="G63" s="19"/>
    </x:row>
    <x:row r="64">
      <x:c r="E64" s="15"/>
      <x:c r="F64" s="19"/>
      <x:c r="G64" s="19"/>
    </x:row>
    <x:row r="65">
      <x:c r="E65" s="15"/>
      <x:c r="F65" s="19"/>
      <x:c r="G65" s="19"/>
    </x:row>
    <x:row r="66">
      <x:c r="E66" s="15"/>
      <x:c r="F66" s="19"/>
      <x:c r="G66" s="19"/>
    </x:row>
    <x:row r="67">
      <x:c r="E67" s="15"/>
      <x:c r="F67" s="19"/>
      <x:c r="G67" s="19"/>
    </x:row>
    <x:row r="68">
      <x:c r="E68" s="15"/>
      <x:c r="F68" s="19"/>
      <x:c r="G68" s="19"/>
    </x:row>
    <x:row r="69">
      <x:c r="E69" s="15"/>
      <x:c r="F69" s="19"/>
      <x:c r="G69" s="19"/>
    </x:row>
    <x:row r="70">
      <x:c r="E70" s="15"/>
      <x:c r="F70" s="19"/>
      <x:c r="G70" s="19"/>
    </x:row>
    <x:row r="71">
      <x:c r="E71" s="15"/>
      <x:c r="F71" s="19"/>
      <x:c r="G71" s="19"/>
    </x:row>
    <x:row r="72">
      <x:c r="E72" s="15"/>
      <x:c r="F72" s="19"/>
      <x:c r="G72" s="19"/>
    </x:row>
    <x:row r="73">
      <x:c r="E73" s="15"/>
      <x:c r="F73" s="19"/>
      <x:c r="G73" s="19"/>
    </x:row>
    <x:row r="74">
      <x:c r="E74" s="15"/>
      <x:c r="F74" s="19"/>
      <x:c r="G74" s="19"/>
    </x:row>
    <x:row r="75">
      <x:c r="E75" s="15"/>
      <x:c r="F75" s="19"/>
      <x:c r="G75" s="19"/>
    </x:row>
    <x:row r="76">
      <x:c r="E76" s="15"/>
      <x:c r="F76" s="19"/>
      <x:c r="G76" s="19"/>
    </x:row>
    <x:row r="77">
      <x:c r="E77" s="15"/>
      <x:c r="F77" s="19"/>
      <x:c r="G77" s="19"/>
    </x:row>
    <x:row r="78">
      <x:c r="E78" s="15"/>
      <x:c r="F78" s="19"/>
      <x:c r="G78" s="19"/>
    </x:row>
    <x:row r="79">
      <x:c r="E79" s="15"/>
      <x:c r="F79" s="19"/>
      <x:c r="G79" s="19"/>
    </x:row>
    <x:row r="80">
      <x:c r="E80" s="15"/>
      <x:c r="F80" s="19"/>
      <x:c r="G80" s="19"/>
    </x:row>
    <x:row r="81">
      <x:c r="E81" s="15"/>
      <x:c r="F81" s="19"/>
      <x:c r="G81" s="19"/>
    </x:row>
    <x:row r="82">
      <x:c r="E82" s="15"/>
      <x:c r="F82" s="19"/>
      <x:c r="G82" s="19"/>
    </x:row>
    <x:row r="83">
      <x:c r="E83" s="15"/>
      <x:c r="F83" s="19"/>
      <x:c r="G83" s="19"/>
    </x:row>
    <x:row r="84">
      <x:c r="E84" s="15"/>
      <x:c r="F84" s="19"/>
      <x:c r="G84" s="19"/>
    </x:row>
    <x:row r="85">
      <x:c r="E85" s="15"/>
      <x:c r="F85" s="19"/>
      <x:c r="G85" s="19"/>
    </x:row>
    <x:row r="86">
      <x:c r="E86" s="15"/>
      <x:c r="F86" s="19"/>
      <x:c r="G86" s="19"/>
    </x:row>
    <x:row r="87">
      <x:c r="E87" s="15"/>
      <x:c r="F87" s="19"/>
      <x:c r="G87" s="19"/>
    </x:row>
    <x:row r="88">
      <x:c r="E88" s="15"/>
      <x:c r="F88" s="19"/>
      <x:c r="G88" s="19"/>
    </x:row>
    <x:row r="89">
      <x:c r="E89" s="15"/>
      <x:c r="F89" s="19"/>
      <x:c r="G89" s="19"/>
    </x:row>
    <x:row r="90">
      <x:c r="E90" s="15"/>
      <x:c r="F90" s="19"/>
      <x:c r="G90" s="19"/>
    </x:row>
    <x:row r="91">
      <x:c r="E91" s="15"/>
      <x:c r="F91" s="19"/>
      <x:c r="G91" s="19"/>
    </x:row>
    <x:row r="92">
      <x:c r="E92" s="15"/>
      <x:c r="F92" s="19"/>
      <x:c r="G92" s="19"/>
    </x:row>
    <x:row r="93">
      <x:c r="E93" s="15"/>
      <x:c r="F93" s="19"/>
      <x:c r="G93" s="19"/>
    </x:row>
    <x:row r="94">
      <x:c r="E94" s="15"/>
      <x:c r="F94" s="19"/>
      <x:c r="G94" s="19"/>
    </x:row>
    <x:row r="95">
      <x:c r="E95" s="15"/>
      <x:c r="F95" s="19"/>
      <x:c r="G95" s="19"/>
    </x:row>
    <x:row r="96">
      <x:c r="E96" s="15"/>
      <x:c r="F96" s="19"/>
      <x:c r="G96" s="19"/>
    </x:row>
    <x:row r="97">
      <x:c r="E97" s="15"/>
      <x:c r="F97" s="19"/>
      <x:c r="G97" s="19"/>
    </x:row>
    <x:row r="98">
      <x:c r="E98" s="15"/>
      <x:c r="F98" s="19"/>
      <x:c r="G98" s="19"/>
    </x:row>
    <x:row r="99">
      <x:c r="E99" s="15"/>
      <x:c r="F99" s="19"/>
      <x:c r="G99" s="19"/>
    </x:row>
    <x:row r="100">
      <x:c r="E100" s="15"/>
      <x:c r="F100" s="19"/>
      <x:c r="G100" s="19"/>
    </x:row>
    <x:row r="101">
      <x:c r="E101" s="15"/>
      <x:c r="F101" s="19"/>
      <x:c r="G101" s="19"/>
    </x:row>
    <x:row r="102">
      <x:c r="E102" s="15"/>
      <x:c r="F102" s="19"/>
      <x:c r="G102" s="19"/>
    </x:row>
    <x:row r="103">
      <x:c r="E103" s="15"/>
      <x:c r="F103" s="19"/>
      <x:c r="G103" s="19"/>
    </x:row>
    <x:row r="104">
      <x:c r="E104" s="15"/>
      <x:c r="F104" s="19"/>
      <x:c r="G104" s="19"/>
    </x:row>
    <x:row r="105">
      <x:c r="E105" s="15"/>
      <x:c r="F105" s="19"/>
      <x:c r="G105" s="19"/>
    </x:row>
    <x:row r="106">
      <x:c r="E106" s="15"/>
      <x:c r="F106" s="19"/>
      <x:c r="G106" s="19"/>
    </x:row>
    <x:row r="107">
      <x:c r="E107" s="15"/>
      <x:c r="F107" s="19"/>
      <x:c r="G107" s="19"/>
    </x:row>
    <x:row r="108">
      <x:c r="E108" s="15"/>
      <x:c r="F108" s="19"/>
      <x:c r="G108" s="19"/>
    </x:row>
    <x:row r="109">
      <x:c r="E109" s="15"/>
      <x:c r="F109" s="19"/>
      <x:c r="G109" s="19"/>
    </x:row>
    <x:row r="110">
      <x:c r="E110" s="15"/>
      <x:c r="F110" s="19"/>
      <x:c r="G110" s="19"/>
    </x:row>
    <x:row r="111">
      <x:c r="E111" s="15"/>
      <x:c r="F111" s="19"/>
      <x:c r="G111" s="19"/>
    </x:row>
    <x:row r="112">
      <x:c r="E112" s="15"/>
      <x:c r="F112" s="19"/>
      <x:c r="G112" s="19"/>
    </x:row>
    <x:row r="113">
      <x:c r="E113" s="15"/>
      <x:c r="F113" s="19"/>
      <x:c r="G113" s="19"/>
    </x:row>
    <x:row r="114">
      <x:c r="E114" s="15"/>
      <x:c r="F114" s="19"/>
      <x:c r="G114" s="19"/>
    </x:row>
    <x:row r="115">
      <x:c r="E115" s="15"/>
      <x:c r="F115" s="19"/>
      <x:c r="G115" s="19"/>
    </x:row>
    <x:row r="116">
      <x:c r="E116" s="15"/>
      <x:c r="F116" s="19"/>
      <x:c r="G116" s="19"/>
    </x:row>
    <x:row r="117">
      <x:c r="E117" s="15"/>
      <x:c r="F117" s="19"/>
      <x:c r="G117" s="19"/>
    </x:row>
    <x:row r="118">
      <x:c r="E118" s="15"/>
      <x:c r="F118" s="19"/>
      <x:c r="G118" s="19"/>
    </x:row>
    <x:row r="119">
      <x:c r="E119" s="15"/>
      <x:c r="F119" s="19"/>
      <x:c r="G119" s="19"/>
    </x:row>
    <x:row r="120">
      <x:c r="E120" s="15"/>
      <x:c r="F120" s="19"/>
      <x:c r="G120" s="19"/>
    </x:row>
    <x:row r="121">
      <x:c r="E121" s="15"/>
      <x:c r="F121" s="19"/>
      <x:c r="G121" s="19"/>
    </x:row>
    <x:row r="122">
      <x:c r="E122" s="15"/>
      <x:c r="F122" s="19"/>
      <x:c r="G122" s="19"/>
    </x:row>
    <x:row r="123">
      <x:c r="E123" s="15"/>
      <x:c r="F123" s="19"/>
      <x:c r="G123" s="19"/>
    </x:row>
    <x:row r="124">
      <x:c r="E124" s="15"/>
      <x:c r="F124" s="19"/>
      <x:c r="G124" s="19"/>
    </x:row>
    <x:row r="125">
      <x:c r="E125" s="15"/>
      <x:c r="F125" s="19"/>
      <x:c r="G125" s="19"/>
    </x:row>
    <x:row r="126">
      <x:c r="E126" s="15"/>
      <x:c r="F126" s="19"/>
      <x:c r="G126" s="19"/>
    </x:row>
    <x:row r="127">
      <x:c r="E127" s="15"/>
      <x:c r="F127" s="19"/>
      <x:c r="G127" s="19"/>
    </x:row>
    <x:row r="128">
      <x:c r="E128" s="15"/>
      <x:c r="F128" s="19"/>
      <x:c r="G128" s="19"/>
    </x:row>
    <x:row r="129">
      <x:c r="E129" s="15"/>
      <x:c r="F129" s="19"/>
      <x:c r="G129" s="19"/>
    </x:row>
    <x:row r="130">
      <x:c r="E130" s="15"/>
      <x:c r="F130" s="19"/>
      <x:c r="G130" s="19"/>
    </x:row>
    <x:row r="131">
      <x:c r="E131" s="15"/>
      <x:c r="F131" s="19"/>
      <x:c r="G131" s="19"/>
    </x:row>
    <x:row r="132">
      <x:c r="E132" s="15"/>
      <x:c r="F132" s="19"/>
      <x:c r="G132" s="19"/>
    </x:row>
    <x:row r="133">
      <x:c r="E133" s="15"/>
      <x:c r="F133" s="19"/>
      <x:c r="G133" s="19"/>
    </x:row>
    <x:row r="134">
      <x:c r="E134" s="15"/>
      <x:c r="F134" s="19"/>
      <x:c r="G134" s="19"/>
    </x:row>
    <x:row r="135">
      <x:c r="E135" s="15"/>
      <x:c r="F135" s="19"/>
      <x:c r="G135" s="19"/>
    </x:row>
    <x:row r="136">
      <x:c r="E136" s="15"/>
      <x:c r="F136" s="19"/>
      <x:c r="G136" s="19"/>
    </x:row>
    <x:row r="137">
      <x:c r="E137" s="15"/>
      <x:c r="F137" s="19"/>
      <x:c r="G137" s="19"/>
    </x:row>
    <x:row r="138">
      <x:c r="E138" s="15"/>
      <x:c r="F138" s="19"/>
      <x:c r="G138" s="19"/>
    </x:row>
    <x:row r="139">
      <x:c r="E139" s="15"/>
      <x:c r="F139" s="19"/>
      <x:c r="G139" s="19"/>
    </x:row>
    <x:row r="140">
      <x:c r="E140" s="15"/>
      <x:c r="F140" s="19"/>
      <x:c r="G140" s="19"/>
    </x:row>
    <x:row r="141">
      <x:c r="E141" s="15"/>
      <x:c r="F141" s="19"/>
      <x:c r="G141" s="19"/>
    </x:row>
    <x:row r="142">
      <x:c r="E142" s="15"/>
      <x:c r="F142" s="19"/>
      <x:c r="G142" s="19"/>
    </x:row>
    <x:row r="143">
      <x:c r="E143" s="15"/>
      <x:c r="F143" s="19"/>
      <x:c r="G143" s="19"/>
    </x:row>
    <x:row r="144">
      <x:c r="E144" s="15"/>
      <x:c r="F144" s="19"/>
      <x:c r="G144" s="19"/>
    </x:row>
    <x:row r="145">
      <x:c r="E145" s="15"/>
      <x:c r="F145" s="19"/>
      <x:c r="G145" s="19"/>
    </x:row>
    <x:row r="146">
      <x:c r="E146" s="15"/>
      <x:c r="F146" s="19"/>
      <x:c r="G146" s="19"/>
    </x:row>
    <x:row r="147">
      <x:c r="E147" s="15"/>
      <x:c r="F147" s="19"/>
      <x:c r="G147" s="19"/>
    </x:row>
    <x:row r="148">
      <x:c r="E148" s="15"/>
      <x:c r="F148" s="19"/>
      <x:c r="G148" s="19"/>
    </x:row>
    <x:row r="149">
      <x:c r="E149" s="15"/>
      <x:c r="F149" s="19"/>
      <x:c r="G149" s="19"/>
    </x:row>
    <x:row r="150">
      <x:c r="E150" s="15"/>
      <x:c r="F150" s="19"/>
      <x:c r="G150" s="19"/>
    </x:row>
    <x:row r="151">
      <x:c r="E151" s="15"/>
      <x:c r="F151" s="19"/>
      <x:c r="G151" s="19"/>
    </x:row>
    <x:row r="152">
      <x:c r="E152" s="15"/>
      <x:c r="F152" s="19"/>
      <x:c r="G152" s="19"/>
    </x:row>
    <x:row r="153">
      <x:c r="E153" s="15"/>
      <x:c r="F153" s="19"/>
      <x:c r="G153" s="19"/>
    </x:row>
    <x:row r="154">
      <x:c r="E154" s="15"/>
      <x:c r="F154" s="19"/>
      <x:c r="G154" s="19"/>
    </x:row>
    <x:row r="155">
      <x:c r="E155" s="15"/>
      <x:c r="F155" s="19"/>
      <x:c r="G155" s="19"/>
    </x:row>
    <x:row r="156">
      <x:c r="E156" s="15"/>
      <x:c r="F156" s="19"/>
      <x:c r="G156" s="19"/>
    </x:row>
    <x:row r="157">
      <x:c r="E157" s="15"/>
      <x:c r="F157" s="19"/>
      <x:c r="G157" s="19"/>
    </x:row>
    <x:row r="158">
      <x:c r="E158" s="15"/>
      <x:c r="F158" s="19"/>
      <x:c r="G158" s="19"/>
    </x:row>
    <x:row r="159">
      <x:c r="E159" s="15"/>
      <x:c r="F159" s="19"/>
      <x:c r="G159" s="19"/>
    </x:row>
    <x:row r="160">
      <x:c r="E160" s="15"/>
      <x:c r="F160" s="19"/>
      <x:c r="G160" s="19"/>
    </x:row>
    <x:row r="161">
      <x:c r="E161" s="15"/>
      <x:c r="F161" s="19"/>
      <x:c r="G161" s="19"/>
    </x:row>
    <x:row r="162">
      <x:c r="E162" s="15"/>
      <x:c r="F162" s="19"/>
      <x:c r="G162" s="19"/>
    </x:row>
    <x:row r="163">
      <x:c r="E163" s="15"/>
      <x:c r="F163" s="19"/>
      <x:c r="G163" s="19"/>
    </x:row>
    <x:row r="164">
      <x:c r="E164" s="15"/>
      <x:c r="F164" s="19"/>
      <x:c r="G164" s="19"/>
    </x:row>
    <x:row r="165">
      <x:c r="E165" s="15"/>
      <x:c r="F165" s="19"/>
      <x:c r="G165" s="19"/>
    </x:row>
    <x:row r="166">
      <x:c r="E166" s="15"/>
      <x:c r="F166" s="19"/>
      <x:c r="G166" s="19"/>
    </x:row>
    <x:row r="167">
      <x:c r="E167" s="15"/>
      <x:c r="F167" s="19"/>
      <x:c r="G167" s="19"/>
    </x:row>
    <x:row r="168">
      <x:c r="E168" s="15"/>
      <x:c r="F168" s="19"/>
      <x:c r="G168" s="19"/>
    </x:row>
    <x:row r="169">
      <x:c r="E169" s="15"/>
      <x:c r="F169" s="19"/>
      <x:c r="G169" s="19"/>
    </x:row>
    <x:row r="170">
      <x:c r="E170" s="15"/>
      <x:c r="F170" s="19"/>
      <x:c r="G170" s="19"/>
    </x:row>
    <x:row r="171">
      <x:c r="E171" s="15"/>
      <x:c r="F171" s="19"/>
      <x:c r="G171" s="19"/>
    </x:row>
    <x:row r="172">
      <x:c r="E172" s="15"/>
      <x:c r="F172" s="19"/>
      <x:c r="G172" s="19"/>
    </x:row>
    <x:row r="173">
      <x:c r="E173" s="15"/>
      <x:c r="F173" s="19"/>
      <x:c r="G173" s="19"/>
    </x:row>
    <x:row r="174">
      <x:c r="E174" s="15"/>
      <x:c r="F174" s="19"/>
      <x:c r="G174" s="19"/>
    </x:row>
    <x:row r="175">
      <x:c r="E175" s="15"/>
      <x:c r="F175" s="19"/>
      <x:c r="G175" s="19"/>
    </x:row>
    <x:row r="176">
      <x:c r="E176" s="15"/>
      <x:c r="F176" s="19"/>
      <x:c r="G176" s="19"/>
    </x:row>
    <x:row r="177">
      <x:c r="E177" s="15"/>
      <x:c r="F177" s="19"/>
      <x:c r="G177" s="19"/>
    </x:row>
    <x:row r="178">
      <x:c r="E178" s="15"/>
      <x:c r="F178" s="19"/>
      <x:c r="G178" s="19"/>
    </x:row>
    <x:row r="179">
      <x:c r="E179" s="15"/>
      <x:c r="F179" s="19"/>
      <x:c r="G179" s="19"/>
    </x:row>
    <x:row r="180">
      <x:c r="E180" s="15"/>
      <x:c r="F180" s="19"/>
      <x:c r="G180" s="19"/>
    </x:row>
    <x:row r="181">
      <x:c r="E181" s="15"/>
      <x:c r="F181" s="19"/>
      <x:c r="G181" s="19"/>
    </x:row>
    <x:row r="182">
      <x:c r="E182" s="15"/>
      <x:c r="F182" s="19"/>
      <x:c r="G182" s="19"/>
    </x:row>
    <x:row r="183">
      <x:c r="E183" s="15"/>
      <x:c r="F183" s="19"/>
      <x:c r="G183" s="19"/>
    </x:row>
    <x:row r="184">
      <x:c r="E184" s="15"/>
      <x:c r="F184" s="19"/>
      <x:c r="G184" s="19"/>
    </x:row>
    <x:row r="185">
      <x:c r="E185" s="15"/>
      <x:c r="F185" s="19"/>
      <x:c r="G185" s="19"/>
    </x:row>
    <x:row r="186">
      <x:c r="E186" s="15"/>
      <x:c r="F186" s="19"/>
      <x:c r="G186" s="19"/>
    </x:row>
    <x:row r="187">
      <x:c r="E187" s="15"/>
      <x:c r="F187" s="19"/>
      <x:c r="G187" s="19"/>
    </x:row>
    <x:row r="188">
      <x:c r="E188" s="15"/>
      <x:c r="F188" s="19"/>
      <x:c r="G188" s="19"/>
    </x:row>
    <x:row r="189">
      <x:c r="E189" s="15"/>
      <x:c r="F189" s="19"/>
      <x:c r="G189" s="19"/>
    </x:row>
    <x:row r="190">
      <x:c r="E190" s="15"/>
      <x:c r="F190" s="19"/>
      <x:c r="G190" s="19"/>
    </x:row>
    <x:row r="191">
      <x:c r="E191" s="15"/>
      <x:c r="F191" s="19"/>
      <x:c r="G191" s="19"/>
    </x:row>
    <x:row r="192">
      <x:c r="E192" s="15"/>
      <x:c r="F192" s="19"/>
      <x:c r="G192" s="19"/>
    </x:row>
    <x:row r="193">
      <x:c r="E193" s="15"/>
      <x:c r="F193" s="19"/>
      <x:c r="G193" s="19"/>
    </x:row>
    <x:row r="194">
      <x:c r="E194" s="15"/>
      <x:c r="F194" s="19"/>
      <x:c r="G194" s="19"/>
    </x:row>
    <x:row r="195">
      <x:c r="E195" s="15"/>
      <x:c r="F195" s="19"/>
      <x:c r="G195" s="19"/>
    </x:row>
    <x:row r="196">
      <x:c r="E196" s="15"/>
      <x:c r="F196" s="19"/>
      <x:c r="G196" s="19"/>
    </x:row>
    <x:row r="197">
      <x:c r="E197" s="15"/>
      <x:c r="F197" s="19"/>
      <x:c r="G197" s="19"/>
    </x:row>
    <x:row r="198">
      <x:c r="E198" s="15"/>
      <x:c r="F198" s="19"/>
      <x:c r="G198" s="19"/>
    </x:row>
    <x:row r="199">
      <x:c r="E199" s="15"/>
      <x:c r="F199" s="19"/>
      <x:c r="G199" s="19"/>
    </x:row>
    <x:row r="200">
      <x:c r="E200" s="15"/>
      <x:c r="F200" s="19"/>
      <x:c r="G200" s="19"/>
    </x:row>
  </x:sheetData>
  <x:conditionalFormatting sqref="F2:F39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conditionalFormatting sqref="G2:G39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{F6B567CB-AE82-FCD9-6A2E-C04370329891}</x14:id>
        </x:ext>
      </x:extLst>
    </x:cfRule>
  </x:conditionalFormatting>
  <x:dataValidations count="1">
    <x:dataValidation type="whole" operator="between" showInputMessage="1" showErrorMessage="1" errorTitle="Valor inválido" error="El valor debe estar entre 0 y 100" promptTitle="Valor editable" prompt="Ingrese un valor entre 0 y 100" sqref="F2:F39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02b0e25c5af418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6B567CB-AE82-FCD9-6A2E-C04370329891}">
            <x14:dataBar gradient="1">
              <x14:cfvo type="min"/>
              <x14:cfvo type="max"/>
              <x14:fillColor rgb="FF4F81BD"/>
            </x14:dataBar>
          </x14:cfRule>
          <xm:sqref>G2:G39</xm:sqref>
        </x14:conditionalFormatting>
      </x14:conditionalFormattings>
    </x:ext>
  </x:extLst>
</x:worksheet>
</file>